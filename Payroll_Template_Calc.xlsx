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ZEEZ OLARIBIGBE\Downloads\"/>
    </mc:Choice>
  </mc:AlternateContent>
  <xr:revisionPtr revIDLastSave="0" documentId="8_{DBC5D6E4-183F-421B-A2D5-2D39EC357C7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ayroll Input" sheetId="1" r:id="rId1"/>
    <sheet name="Payroll Calc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E8" i="2"/>
  <c r="D8" i="2"/>
  <c r="C8" i="2"/>
  <c r="B8" i="2"/>
  <c r="A8" i="2"/>
  <c r="E7" i="2"/>
  <c r="D7" i="2"/>
  <c r="C7" i="2"/>
  <c r="B7" i="2"/>
  <c r="A7" i="2"/>
  <c r="E6" i="2"/>
  <c r="D6" i="2"/>
  <c r="C6" i="2"/>
  <c r="B6" i="2"/>
  <c r="A6" i="2"/>
  <c r="E5" i="2"/>
  <c r="D5" i="2"/>
  <c r="C5" i="2"/>
  <c r="B5" i="2"/>
  <c r="A5" i="2"/>
  <c r="E4" i="2"/>
  <c r="D4" i="2"/>
  <c r="C4" i="2"/>
  <c r="B4" i="2"/>
  <c r="A4" i="2"/>
  <c r="E3" i="2"/>
  <c r="D3" i="2"/>
  <c r="C3" i="2"/>
  <c r="B3" i="2"/>
  <c r="A3" i="2"/>
  <c r="E2" i="2"/>
  <c r="D2" i="2"/>
  <c r="C2" i="2"/>
  <c r="B2" i="2"/>
  <c r="A2" i="2"/>
  <c r="F12" i="2" l="1"/>
  <c r="F11" i="2"/>
  <c r="F10" i="2"/>
  <c r="F9" i="2"/>
  <c r="F7" i="2"/>
  <c r="F6" i="2"/>
  <c r="F5" i="2"/>
  <c r="F4" i="2"/>
  <c r="F3" i="2"/>
  <c r="F8" i="2"/>
  <c r="H7" i="2"/>
  <c r="F2" i="2"/>
  <c r="H2" i="2" l="1"/>
  <c r="G2" i="2"/>
  <c r="I2" i="2" s="1"/>
  <c r="J2" i="2"/>
  <c r="K2" i="2"/>
  <c r="L2" i="2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G7" i="2"/>
  <c r="I7" i="2" s="1"/>
  <c r="G6" i="2"/>
  <c r="G5" i="2"/>
  <c r="H4" i="2"/>
  <c r="H3" i="2"/>
  <c r="G3" i="2"/>
  <c r="I3" i="2" s="1"/>
  <c r="H6" i="2"/>
  <c r="H5" i="2"/>
  <c r="G4" i="2"/>
  <c r="I4" i="2" l="1"/>
  <c r="K12" i="2"/>
  <c r="J12" i="2"/>
  <c r="K11" i="2"/>
  <c r="J11" i="2"/>
  <c r="K10" i="2"/>
  <c r="J10" i="2"/>
  <c r="J9" i="2"/>
  <c r="K9" i="2"/>
  <c r="K8" i="2"/>
  <c r="J8" i="2"/>
  <c r="K7" i="2"/>
  <c r="J7" i="2"/>
  <c r="J3" i="2"/>
  <c r="K3" i="2"/>
  <c r="I6" i="2"/>
  <c r="I5" i="2"/>
  <c r="B7" i="3"/>
  <c r="K4" i="2" l="1"/>
  <c r="J4" i="2"/>
  <c r="J6" i="2"/>
  <c r="K6" i="2"/>
  <c r="L6" i="2"/>
  <c r="J5" i="2"/>
  <c r="K5" i="2"/>
  <c r="L4" i="2"/>
  <c r="L9" i="2"/>
  <c r="L8" i="2"/>
  <c r="L7" i="2"/>
  <c r="L3" i="2"/>
  <c r="B3" i="3"/>
  <c r="L12" i="2"/>
  <c r="L11" i="2"/>
  <c r="L10" i="2"/>
  <c r="B4" i="3" l="1"/>
  <c r="L5" i="2"/>
  <c r="B6" i="3" s="1"/>
  <c r="B5" i="3"/>
</calcChain>
</file>

<file path=xl/sharedStrings.xml><?xml version="1.0" encoding="utf-8"?>
<sst xmlns="http://schemas.openxmlformats.org/spreadsheetml/2006/main" count="60" uniqueCount="44">
  <si>
    <t>Employee ID</t>
  </si>
  <si>
    <t>Employee Name</t>
  </si>
  <si>
    <t>Rate Type</t>
  </si>
  <si>
    <t>Regular Hours</t>
  </si>
  <si>
    <t>Overtime Hours</t>
  </si>
  <si>
    <t>Rate 1</t>
  </si>
  <si>
    <t>Rate 2</t>
  </si>
  <si>
    <t>Hourly Rate</t>
  </si>
  <si>
    <t>Regular Pay</t>
  </si>
  <si>
    <t>Overtime Pay</t>
  </si>
  <si>
    <t>Gross Pay</t>
  </si>
  <si>
    <t>Tax 10%</t>
  </si>
  <si>
    <t>Pension 5%</t>
  </si>
  <si>
    <t>Net Pay</t>
  </si>
  <si>
    <t>Metric</t>
  </si>
  <si>
    <t>Value</t>
  </si>
  <si>
    <t>Total Employees</t>
  </si>
  <si>
    <t>Total Gross Pay</t>
  </si>
  <si>
    <t>Total Tax</t>
  </si>
  <si>
    <t>Total Pension</t>
  </si>
  <si>
    <t>Total Net Pay</t>
  </si>
  <si>
    <t>Total Overtime Cost</t>
  </si>
  <si>
    <t>001-BS</t>
  </si>
  <si>
    <t>AKEEM JOHN</t>
  </si>
  <si>
    <t>002-BS</t>
  </si>
  <si>
    <t>WURAOLA AKINLOYE</t>
  </si>
  <si>
    <t>003-BS</t>
  </si>
  <si>
    <t>BRIGHT JOHNSON</t>
  </si>
  <si>
    <t>004-BS</t>
  </si>
  <si>
    <t>PRINCESS JULIAN</t>
  </si>
  <si>
    <t>005-BS</t>
  </si>
  <si>
    <t>ALVEREZ UCHE</t>
  </si>
  <si>
    <t>006-BS</t>
  </si>
  <si>
    <t>YODAHAN ULS</t>
  </si>
  <si>
    <t>007-BS</t>
  </si>
  <si>
    <t>KAREEM BENSON</t>
  </si>
  <si>
    <t>008-BS</t>
  </si>
  <si>
    <t>ADAMO AYOBO</t>
  </si>
  <si>
    <t>009-BS</t>
  </si>
  <si>
    <t>HENESSEY O</t>
  </si>
  <si>
    <t>010-BS</t>
  </si>
  <si>
    <t>ADE THOMPSON</t>
  </si>
  <si>
    <t>011-BS</t>
  </si>
  <si>
    <t>TYLER NJON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</si>
</sst>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G20" sqref="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22</v>
      </c>
      <c r="B2" t="s">
        <v>23</v>
      </c>
      <c r="C2" t="s">
        <v>5</v>
      </c>
      <c r="D2">
        <v>40</v>
      </c>
      <c r="E2">
        <v>6</v>
      </c>
      <c r="F2">
        <v>16</v>
      </c>
      <c r="G2">
        <v>30</v>
      </c>
    </row>
    <row r="3" spans="1:7" x14ac:dyDescent="0.35">
      <c r="A3" t="s">
        <v>24</v>
      </c>
      <c r="B3" t="s">
        <v>25</v>
      </c>
      <c r="C3" t="s">
        <v>6</v>
      </c>
      <c r="D3">
        <v>35</v>
      </c>
      <c r="E3">
        <v>3</v>
      </c>
      <c r="F3">
        <v>16</v>
      </c>
      <c r="G3">
        <v>30</v>
      </c>
    </row>
    <row r="4" spans="1:7" x14ac:dyDescent="0.35">
      <c r="A4" t="s">
        <v>26</v>
      </c>
      <c r="B4" t="s">
        <v>27</v>
      </c>
      <c r="C4" t="s">
        <v>6</v>
      </c>
      <c r="D4">
        <v>50</v>
      </c>
      <c r="E4">
        <v>2</v>
      </c>
      <c r="F4">
        <v>16</v>
      </c>
      <c r="G4">
        <v>30</v>
      </c>
    </row>
    <row r="5" spans="1:7" x14ac:dyDescent="0.35">
      <c r="A5" t="s">
        <v>28</v>
      </c>
      <c r="B5" t="s">
        <v>29</v>
      </c>
      <c r="C5" t="s">
        <v>6</v>
      </c>
      <c r="D5">
        <v>25</v>
      </c>
      <c r="E5">
        <v>3</v>
      </c>
      <c r="F5">
        <v>16</v>
      </c>
      <c r="G5">
        <v>30</v>
      </c>
    </row>
    <row r="6" spans="1:7" x14ac:dyDescent="0.35">
      <c r="A6" t="s">
        <v>30</v>
      </c>
      <c r="B6" t="s">
        <v>31</v>
      </c>
      <c r="C6" t="s">
        <v>5</v>
      </c>
      <c r="D6">
        <v>45</v>
      </c>
      <c r="E6">
        <v>4</v>
      </c>
      <c r="F6">
        <v>16</v>
      </c>
      <c r="G6">
        <v>30</v>
      </c>
    </row>
    <row r="7" spans="1:7" x14ac:dyDescent="0.35">
      <c r="A7" t="s">
        <v>32</v>
      </c>
      <c r="B7" t="s">
        <v>33</v>
      </c>
      <c r="C7" t="s">
        <v>6</v>
      </c>
      <c r="D7">
        <v>18</v>
      </c>
      <c r="E7">
        <v>5</v>
      </c>
      <c r="F7">
        <v>16</v>
      </c>
      <c r="G7">
        <v>30</v>
      </c>
    </row>
    <row r="8" spans="1:7" x14ac:dyDescent="0.35">
      <c r="A8" t="s">
        <v>34</v>
      </c>
      <c r="B8" t="s">
        <v>35</v>
      </c>
      <c r="C8" t="s">
        <v>5</v>
      </c>
      <c r="D8">
        <v>50</v>
      </c>
      <c r="E8">
        <v>2</v>
      </c>
      <c r="F8">
        <v>16</v>
      </c>
      <c r="G8">
        <v>30</v>
      </c>
    </row>
    <row r="9" spans="1:7" x14ac:dyDescent="0.35">
      <c r="A9" t="s">
        <v>36</v>
      </c>
      <c r="B9" t="s">
        <v>37</v>
      </c>
      <c r="C9" t="s">
        <v>5</v>
      </c>
      <c r="D9">
        <v>35</v>
      </c>
      <c r="E9">
        <v>6</v>
      </c>
      <c r="F9">
        <v>16</v>
      </c>
      <c r="G9">
        <v>30</v>
      </c>
    </row>
    <row r="10" spans="1:7" x14ac:dyDescent="0.35">
      <c r="A10" t="s">
        <v>38</v>
      </c>
      <c r="B10" t="s">
        <v>39</v>
      </c>
      <c r="C10" t="s">
        <v>6</v>
      </c>
      <c r="D10">
        <v>28</v>
      </c>
      <c r="E10">
        <v>4</v>
      </c>
      <c r="F10">
        <v>16</v>
      </c>
      <c r="G10">
        <v>30</v>
      </c>
    </row>
    <row r="11" spans="1:7" x14ac:dyDescent="0.35">
      <c r="A11" t="s">
        <v>40</v>
      </c>
      <c r="B11" t="s">
        <v>41</v>
      </c>
      <c r="C11" t="s">
        <v>5</v>
      </c>
      <c r="D11">
        <v>20</v>
      </c>
      <c r="E11">
        <v>3</v>
      </c>
      <c r="F11">
        <v>16</v>
      </c>
      <c r="G11">
        <v>30</v>
      </c>
    </row>
    <row r="12" spans="1:7" x14ac:dyDescent="0.35">
      <c r="A12" t="s">
        <v>42</v>
      </c>
      <c r="B12" t="s">
        <v>43</v>
      </c>
      <c r="C12" t="s">
        <v>6</v>
      </c>
      <c r="D12">
        <v>45</v>
      </c>
      <c r="E12">
        <v>3</v>
      </c>
      <c r="F12">
        <v>16</v>
      </c>
      <c r="G12">
        <v>30</v>
      </c>
    </row>
  </sheetData>
  <dataValidations count="1">
    <dataValidation type="list" sqref="C2:C100" xr:uid="{00000000-0002-0000-0000-000000000000}">
      <formula1>"Rate 1,Rate 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workbookViewId="0">
      <selection activeCell="B9" sqref="B9"/>
    </sheetView>
  </sheetViews>
  <sheetFormatPr defaultRowHeight="14.5" x14ac:dyDescent="0.35"/>
  <cols>
    <col min="2" max="2" width="18.36328125" bestFit="1" customWidth="1"/>
    <col min="4" max="4" width="12.54296875" bestFit="1" customWidth="1"/>
    <col min="6" max="6" width="10.6328125" bestFit="1" customWidth="1"/>
    <col min="7" max="7" width="10.54296875" bestFit="1" customWidth="1"/>
    <col min="11" max="11" width="10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35">
      <c r="A2" t="str">
        <f>'Payroll Input'!A2</f>
        <v>001-BS</v>
      </c>
      <c r="B2" t="str">
        <f>'Payroll Input'!B2</f>
        <v>AKEEM JOHN</v>
      </c>
      <c r="C2" t="str">
        <f>'Payroll Input'!C2</f>
        <v>Rate 1</v>
      </c>
      <c r="D2">
        <f>'Payroll Input'!D2</f>
        <v>40</v>
      </c>
      <c r="E2">
        <f>'Payroll Input'!E2</f>
        <v>6</v>
      </c>
      <c r="F2">
        <f>IF(C2="Rate 1",'Payroll Input'!F2,'Payroll Input'!G2)</f>
        <v>16</v>
      </c>
      <c r="G2">
        <f t="shared" ref="G2:G33" si="0">D2*F2</f>
        <v>640</v>
      </c>
      <c r="H2">
        <f t="shared" ref="H2:H33" si="1">E2*(F2*1.5)</f>
        <v>144</v>
      </c>
      <c r="I2">
        <f t="shared" ref="I2:I33" si="2">G2+H2</f>
        <v>784</v>
      </c>
      <c r="J2">
        <f t="shared" ref="J2:J33" si="3">I2*10%</f>
        <v>78.400000000000006</v>
      </c>
      <c r="K2">
        <f t="shared" ref="K2:K33" si="4">I2*5%</f>
        <v>39.200000000000003</v>
      </c>
      <c r="L2">
        <f t="shared" ref="L2:L33" si="5">I2-J2-K2</f>
        <v>666.4</v>
      </c>
    </row>
    <row r="3" spans="1:12" x14ac:dyDescent="0.35">
      <c r="A3" t="str">
        <f>'Payroll Input'!A3</f>
        <v>002-BS</v>
      </c>
      <c r="B3" t="str">
        <f>'Payroll Input'!B3</f>
        <v>WURAOLA AKINLOYE</v>
      </c>
      <c r="C3" t="str">
        <f>'Payroll Input'!C3</f>
        <v>Rate 2</v>
      </c>
      <c r="D3">
        <f>'Payroll Input'!D3</f>
        <v>35</v>
      </c>
      <c r="E3">
        <f>'Payroll Input'!E3</f>
        <v>3</v>
      </c>
      <c r="F3">
        <f>IF(C3="Rate 1",'Payroll Input'!F3,'Payroll Input'!G3)</f>
        <v>30</v>
      </c>
      <c r="G3">
        <f t="shared" si="0"/>
        <v>1050</v>
      </c>
      <c r="H3">
        <f t="shared" si="1"/>
        <v>135</v>
      </c>
      <c r="I3">
        <f t="shared" si="2"/>
        <v>1185</v>
      </c>
      <c r="J3">
        <f t="shared" si="3"/>
        <v>118.5</v>
      </c>
      <c r="K3">
        <f t="shared" si="4"/>
        <v>59.25</v>
      </c>
      <c r="L3">
        <f t="shared" si="5"/>
        <v>1007.25</v>
      </c>
    </row>
    <row r="4" spans="1:12" x14ac:dyDescent="0.35">
      <c r="A4" t="str">
        <f>'Payroll Input'!A4</f>
        <v>003-BS</v>
      </c>
      <c r="B4" t="str">
        <f>'Payroll Input'!B4</f>
        <v>BRIGHT JOHNSON</v>
      </c>
      <c r="C4" t="str">
        <f>'Payroll Input'!C4</f>
        <v>Rate 2</v>
      </c>
      <c r="D4">
        <f>'Payroll Input'!D4</f>
        <v>50</v>
      </c>
      <c r="E4">
        <f>'Payroll Input'!E4</f>
        <v>2</v>
      </c>
      <c r="F4">
        <f>IF(C4="Rate 1",'Payroll Input'!F4,'Payroll Input'!G4)</f>
        <v>30</v>
      </c>
      <c r="G4">
        <f t="shared" si="0"/>
        <v>1500</v>
      </c>
      <c r="H4">
        <f t="shared" si="1"/>
        <v>90</v>
      </c>
      <c r="I4">
        <f t="shared" si="2"/>
        <v>1590</v>
      </c>
      <c r="J4">
        <f t="shared" si="3"/>
        <v>159</v>
      </c>
      <c r="K4">
        <f t="shared" si="4"/>
        <v>79.5</v>
      </c>
      <c r="L4">
        <f t="shared" si="5"/>
        <v>1351.5</v>
      </c>
    </row>
    <row r="5" spans="1:12" x14ac:dyDescent="0.35">
      <c r="A5" t="str">
        <f>'Payroll Input'!A5</f>
        <v>004-BS</v>
      </c>
      <c r="B5" t="str">
        <f>'Payroll Input'!B5</f>
        <v>PRINCESS JULIAN</v>
      </c>
      <c r="C5" t="str">
        <f>'Payroll Input'!C5</f>
        <v>Rate 2</v>
      </c>
      <c r="D5">
        <f>'Payroll Input'!D5</f>
        <v>25</v>
      </c>
      <c r="E5">
        <f>'Payroll Input'!E5</f>
        <v>3</v>
      </c>
      <c r="F5">
        <f>IF(C5="Rate 1",'Payroll Input'!F5,'Payroll Input'!G5)</f>
        <v>30</v>
      </c>
      <c r="G5">
        <f t="shared" si="0"/>
        <v>750</v>
      </c>
      <c r="H5">
        <f t="shared" si="1"/>
        <v>135</v>
      </c>
      <c r="I5">
        <f t="shared" si="2"/>
        <v>885</v>
      </c>
      <c r="J5">
        <f t="shared" si="3"/>
        <v>88.5</v>
      </c>
      <c r="K5">
        <f t="shared" si="4"/>
        <v>44.25</v>
      </c>
      <c r="L5">
        <f t="shared" si="5"/>
        <v>752.25</v>
      </c>
    </row>
    <row r="6" spans="1:12" x14ac:dyDescent="0.35">
      <c r="A6" t="str">
        <f>'Payroll Input'!A6</f>
        <v>005-BS</v>
      </c>
      <c r="B6" t="str">
        <f>'Payroll Input'!B6</f>
        <v>ALVEREZ UCHE</v>
      </c>
      <c r="C6" t="str">
        <f>'Payroll Input'!C6</f>
        <v>Rate 1</v>
      </c>
      <c r="D6">
        <f>'Payroll Input'!D6</f>
        <v>45</v>
      </c>
      <c r="E6">
        <f>'Payroll Input'!E6</f>
        <v>4</v>
      </c>
      <c r="F6">
        <f>IF(C6="Rate 1",'Payroll Input'!F6,'Payroll Input'!G6)</f>
        <v>16</v>
      </c>
      <c r="G6">
        <f t="shared" si="0"/>
        <v>720</v>
      </c>
      <c r="H6">
        <f t="shared" si="1"/>
        <v>96</v>
      </c>
      <c r="I6">
        <f t="shared" si="2"/>
        <v>816</v>
      </c>
      <c r="J6">
        <f t="shared" si="3"/>
        <v>81.600000000000009</v>
      </c>
      <c r="K6">
        <f t="shared" si="4"/>
        <v>40.800000000000004</v>
      </c>
      <c r="L6">
        <f t="shared" si="5"/>
        <v>693.6</v>
      </c>
    </row>
    <row r="7" spans="1:12" x14ac:dyDescent="0.35">
      <c r="A7" t="str">
        <f>'Payroll Input'!A7</f>
        <v>006-BS</v>
      </c>
      <c r="B7" t="str">
        <f>'Payroll Input'!B7</f>
        <v>YODAHAN ULS</v>
      </c>
      <c r="C7" t="str">
        <f>'Payroll Input'!C7</f>
        <v>Rate 2</v>
      </c>
      <c r="D7">
        <f>'Payroll Input'!D7</f>
        <v>18</v>
      </c>
      <c r="E7">
        <f>'Payroll Input'!E7</f>
        <v>5</v>
      </c>
      <c r="F7">
        <f>IF(C7="Rate 1",'Payroll Input'!F7,'Payroll Input'!G7)</f>
        <v>30</v>
      </c>
      <c r="G7">
        <f t="shared" si="0"/>
        <v>540</v>
      </c>
      <c r="H7">
        <f t="shared" si="1"/>
        <v>225</v>
      </c>
      <c r="I7">
        <f t="shared" si="2"/>
        <v>765</v>
      </c>
      <c r="J7">
        <f t="shared" si="3"/>
        <v>76.5</v>
      </c>
      <c r="K7">
        <f t="shared" si="4"/>
        <v>38.25</v>
      </c>
      <c r="L7">
        <f t="shared" si="5"/>
        <v>650.25</v>
      </c>
    </row>
    <row r="8" spans="1:12" x14ac:dyDescent="0.35">
      <c r="A8" t="str">
        <f>'Payroll Input'!A8</f>
        <v>007-BS</v>
      </c>
      <c r="B8" t="str">
        <f>'Payroll Input'!B8</f>
        <v>KAREEM BENSON</v>
      </c>
      <c r="C8" t="str">
        <f>'Payroll Input'!C8</f>
        <v>Rate 1</v>
      </c>
      <c r="D8">
        <f>'Payroll Input'!D8</f>
        <v>50</v>
      </c>
      <c r="E8">
        <f>'Payroll Input'!E8</f>
        <v>2</v>
      </c>
      <c r="F8">
        <f>IF(C8="Rate 1",'Payroll Input'!F8,'Payroll Input'!G8)</f>
        <v>16</v>
      </c>
      <c r="G8">
        <f t="shared" si="0"/>
        <v>800</v>
      </c>
      <c r="H8">
        <f t="shared" si="1"/>
        <v>48</v>
      </c>
      <c r="I8">
        <f t="shared" si="2"/>
        <v>848</v>
      </c>
      <c r="J8">
        <f t="shared" si="3"/>
        <v>84.800000000000011</v>
      </c>
      <c r="K8">
        <f t="shared" si="4"/>
        <v>42.400000000000006</v>
      </c>
      <c r="L8">
        <f t="shared" si="5"/>
        <v>720.80000000000007</v>
      </c>
    </row>
    <row r="9" spans="1:12" x14ac:dyDescent="0.35">
      <c r="A9" t="str">
        <f>'Payroll Input'!A9</f>
        <v>008-BS</v>
      </c>
      <c r="B9" t="str">
        <f>'Payroll Input'!B9</f>
        <v>ADAMO AYOBO</v>
      </c>
      <c r="C9" t="str">
        <f>'Payroll Input'!C9</f>
        <v>Rate 1</v>
      </c>
      <c r="D9">
        <f>'Payroll Input'!D9</f>
        <v>35</v>
      </c>
      <c r="E9">
        <f>'Payroll Input'!E9</f>
        <v>6</v>
      </c>
      <c r="F9">
        <f>IF(C9="Rate 1",'Payroll Input'!F9,'Payroll Input'!G9)</f>
        <v>16</v>
      </c>
      <c r="G9">
        <f t="shared" si="0"/>
        <v>560</v>
      </c>
      <c r="H9">
        <f t="shared" si="1"/>
        <v>144</v>
      </c>
      <c r="I9">
        <f t="shared" si="2"/>
        <v>704</v>
      </c>
      <c r="J9">
        <f t="shared" si="3"/>
        <v>70.400000000000006</v>
      </c>
      <c r="K9">
        <f t="shared" si="4"/>
        <v>35.200000000000003</v>
      </c>
      <c r="L9">
        <f t="shared" si="5"/>
        <v>598.4</v>
      </c>
    </row>
    <row r="10" spans="1:12" x14ac:dyDescent="0.35">
      <c r="A10" t="str">
        <f>'Payroll Input'!A10</f>
        <v>009-BS</v>
      </c>
      <c r="B10" t="str">
        <f>'Payroll Input'!B10</f>
        <v>HENESSEY O</v>
      </c>
      <c r="C10" t="str">
        <f>'Payroll Input'!C10</f>
        <v>Rate 2</v>
      </c>
      <c r="D10">
        <f>'Payroll Input'!D10</f>
        <v>28</v>
      </c>
      <c r="E10">
        <f>'Payroll Input'!E10</f>
        <v>4</v>
      </c>
      <c r="F10">
        <f>IF(C10="Rate 1",'Payroll Input'!F10,'Payroll Input'!G10)</f>
        <v>30</v>
      </c>
      <c r="G10">
        <f t="shared" si="0"/>
        <v>840</v>
      </c>
      <c r="H10">
        <f t="shared" si="1"/>
        <v>180</v>
      </c>
      <c r="I10">
        <f t="shared" si="2"/>
        <v>1020</v>
      </c>
      <c r="J10">
        <f t="shared" si="3"/>
        <v>102</v>
      </c>
      <c r="K10">
        <f t="shared" si="4"/>
        <v>51</v>
      </c>
      <c r="L10">
        <f t="shared" si="5"/>
        <v>867</v>
      </c>
    </row>
    <row r="11" spans="1:12" x14ac:dyDescent="0.35">
      <c r="A11" t="str">
        <f>'Payroll Input'!A11</f>
        <v>010-BS</v>
      </c>
      <c r="B11" t="str">
        <f>'Payroll Input'!B11</f>
        <v>ADE THOMPSON</v>
      </c>
      <c r="C11" t="str">
        <f>'Payroll Input'!C11</f>
        <v>Rate 1</v>
      </c>
      <c r="D11">
        <f>'Payroll Input'!D11</f>
        <v>20</v>
      </c>
      <c r="E11">
        <f>'Payroll Input'!E11</f>
        <v>3</v>
      </c>
      <c r="F11">
        <f>IF(C11="Rate 1",'Payroll Input'!F11,'Payroll Input'!G11)</f>
        <v>16</v>
      </c>
      <c r="G11">
        <f t="shared" si="0"/>
        <v>320</v>
      </c>
      <c r="H11">
        <f t="shared" si="1"/>
        <v>72</v>
      </c>
      <c r="I11">
        <f t="shared" si="2"/>
        <v>392</v>
      </c>
      <c r="J11">
        <f t="shared" si="3"/>
        <v>39.200000000000003</v>
      </c>
      <c r="K11">
        <f t="shared" si="4"/>
        <v>19.600000000000001</v>
      </c>
      <c r="L11">
        <f t="shared" si="5"/>
        <v>333.2</v>
      </c>
    </row>
    <row r="12" spans="1:12" x14ac:dyDescent="0.35">
      <c r="A12" t="str">
        <f>'Payroll Input'!A12</f>
        <v>011-BS</v>
      </c>
      <c r="B12" t="str">
        <f>'Payroll Input'!B12</f>
        <v>TYLER NJON</v>
      </c>
      <c r="C12" t="str">
        <f>'Payroll Input'!C12</f>
        <v>Rate 2</v>
      </c>
      <c r="D12">
        <f>'Payroll Input'!D12</f>
        <v>45</v>
      </c>
      <c r="E12">
        <f>'Payroll Input'!E12</f>
        <v>3</v>
      </c>
      <c r="F12">
        <f>IF(C12="Rate 1",'Payroll Input'!F12,'Payroll Input'!G12)</f>
        <v>30</v>
      </c>
      <c r="G12">
        <f t="shared" si="0"/>
        <v>1350</v>
      </c>
      <c r="H12">
        <f t="shared" si="1"/>
        <v>135</v>
      </c>
      <c r="I12">
        <f t="shared" si="2"/>
        <v>1485</v>
      </c>
      <c r="J12">
        <f t="shared" si="3"/>
        <v>148.5</v>
      </c>
      <c r="K12">
        <f t="shared" si="4"/>
        <v>74.25</v>
      </c>
      <c r="L12">
        <f t="shared" si="5"/>
        <v>1262.25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cols>
    <col min="1" max="1" width="17.453125" bestFit="1" customWidth="1"/>
  </cols>
  <sheetData>
    <row r="1" spans="1:2" x14ac:dyDescent="0.35">
      <c r="A1" s="1" t="s">
        <v>14</v>
      </c>
      <c r="B1" s="1" t="s">
        <v>15</v>
      </c>
    </row>
    <row r="2" spans="1:2" x14ac:dyDescent="0.35">
      <c r="A2" t="s">
        <v>16</v>
      </c>
      <c r="B2">
        <f>COUNTA('Payroll Input'!A2:A100)</f>
        <v>11</v>
      </c>
    </row>
    <row r="3" spans="1:2" x14ac:dyDescent="0.35">
      <c r="A3" t="s">
        <v>17</v>
      </c>
      <c r="B3">
        <f>SUM('Payroll Calc'!I:I)</f>
        <v>10474</v>
      </c>
    </row>
    <row r="4" spans="1:2" x14ac:dyDescent="0.35">
      <c r="A4" t="s">
        <v>18</v>
      </c>
      <c r="B4">
        <f>SUM('Payroll Calc'!J:J)</f>
        <v>1047.4000000000001</v>
      </c>
    </row>
    <row r="5" spans="1:2" x14ac:dyDescent="0.35">
      <c r="A5" t="s">
        <v>19</v>
      </c>
      <c r="B5">
        <f>SUM('Payroll Calc'!K:K)</f>
        <v>523.70000000000005</v>
      </c>
    </row>
    <row r="6" spans="1:2" x14ac:dyDescent="0.35">
      <c r="A6" t="s">
        <v>20</v>
      </c>
      <c r="B6">
        <f>SUM('Payroll Calc'!L:L)</f>
        <v>8902.9</v>
      </c>
    </row>
    <row r="7" spans="1:2" x14ac:dyDescent="0.35">
      <c r="A7" t="s">
        <v>21</v>
      </c>
      <c r="B7">
        <f>SUM('Payroll Calc'!H:H)</f>
        <v>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Input</vt:lpstr>
      <vt:lpstr>Payroll Calc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Azeez Olaribigbe</cp:lastModifiedBy>
  <dcterms:created xsi:type="dcterms:W3CDTF">2026-06-08T19:56:13Z</dcterms:created>
  <dcterms:modified xsi:type="dcterms:W3CDTF">2026-06-09T20:57:02Z</dcterms:modified>
</cp:coreProperties>
</file>